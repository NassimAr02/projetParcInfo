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si\Music\projetParcInfo\"/>
    </mc:Choice>
  </mc:AlternateContent>
  <xr:revisionPtr revIDLastSave="0" documentId="13_ncr:1_{738037C6-E4ED-416E-9C0A-236614007BCD}" xr6:coauthVersionLast="47" xr6:coauthVersionMax="47" xr10:uidLastSave="{00000000-0000-0000-0000-000000000000}"/>
  <bookViews>
    <workbookView xWindow="-96" yWindow="0" windowWidth="11712" windowHeight="12336" xr2:uid="{32EE9717-EA7A-40F4-9212-9F5E314139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10" i="1" s="1"/>
  <c r="F6" i="1"/>
  <c r="E6" i="1"/>
  <c r="F10" i="1"/>
  <c r="F4" i="1"/>
  <c r="F5" i="1"/>
  <c r="G4" i="1"/>
  <c r="G5" i="1"/>
  <c r="G3" i="1"/>
  <c r="F3" i="1"/>
  <c r="D5" i="1"/>
  <c r="D4" i="1"/>
  <c r="E3" i="1"/>
</calcChain>
</file>

<file path=xl/sharedStrings.xml><?xml version="1.0" encoding="utf-8"?>
<sst xmlns="http://schemas.openxmlformats.org/spreadsheetml/2006/main" count="17" uniqueCount="17">
  <si>
    <t>CAPEX</t>
  </si>
  <si>
    <t xml:space="preserve">Type </t>
  </si>
  <si>
    <t xml:space="preserve">Quantité </t>
  </si>
  <si>
    <t>Marque / Modèle</t>
  </si>
  <si>
    <t>Prix  (HT)</t>
  </si>
  <si>
    <t>Prix (TTC)</t>
  </si>
  <si>
    <t>Serveur</t>
  </si>
  <si>
    <t>Dell R640 12SFF</t>
  </si>
  <si>
    <t>Netgate 6100 BASE pfSense+</t>
  </si>
  <si>
    <t>NAS</t>
  </si>
  <si>
    <t>Synology RackStation RS1221+</t>
  </si>
  <si>
    <t>Routeur PareFeu</t>
  </si>
  <si>
    <t>Total HT</t>
  </si>
  <si>
    <t>Total TTC</t>
  </si>
  <si>
    <t>Total</t>
  </si>
  <si>
    <t>Seagate IronWolf - 4 To - 256 Mo - Pack de 4</t>
  </si>
  <si>
    <t>Disque dur 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</si>
</sst>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164" fontId="0" fillId="0" borderId="0" xfId="0" applyNumberFormat="1"/>
    <xf numFmtId="0" fontId="1" fillId="0" borderId="0" xfId="1" applyAlignment="1">
      <alignment horizontal="left" vertical="center" wrapText="1"/>
    </xf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netgate.com/products/6100-base-pfsense?srsltid=AfmBOoop8d9H5240BZLMod3hjWyzdndBxIsMOH0pCc2UTMKab8DgzxiR" TargetMode="External"/><Relationship Id="rId2" Type="http://schemas.openxmlformats.org/officeDocument/2006/relationships/hyperlink" Target="https://www.amazon.fr/Synology-RackStation-RS1221-Stockage-Ethernet/dp/B08QSL8MVK" TargetMode="External"/><Relationship Id="rId1" Type="http://schemas.openxmlformats.org/officeDocument/2006/relationships/hyperlink" Target="https://www.materiel.net/produit/202403080136.html" TargetMode="External"/><Relationship Id="rId4" Type="http://schemas.openxmlformats.org/officeDocument/2006/relationships/hyperlink" Target="Capture%20d'&#233;cran%202025-12-03%2000004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2A5E-0DE1-474F-8383-0E26E9B66804}">
  <dimension ref="A1:G10"/>
  <sheetViews>
    <sheetView tabSelected="1" workbookViewId="0">
      <selection activeCell="B9" sqref="B9"/>
    </sheetView>
  </sheetViews>
  <sheetFormatPr baseColWidth="10" defaultRowHeight="14.4" x14ac:dyDescent="0.3"/>
  <cols>
    <col min="1" max="1" width="17.77734375" customWidth="1"/>
    <col min="2" max="2" width="25.44140625" bestFit="1" customWidth="1"/>
  </cols>
  <sheetData>
    <row r="1" spans="1:7" x14ac:dyDescent="0.3">
      <c r="A1" t="s">
        <v>0</v>
      </c>
      <c r="D1" s="4"/>
      <c r="E1" s="4"/>
    </row>
    <row r="2" spans="1:7" x14ac:dyDescent="0.3">
      <c r="A2" t="s">
        <v>1</v>
      </c>
      <c r="B2" t="s">
        <v>3</v>
      </c>
      <c r="C2" t="s">
        <v>2</v>
      </c>
      <c r="D2" s="4" t="s">
        <v>4</v>
      </c>
      <c r="E2" s="4" t="s">
        <v>5</v>
      </c>
      <c r="F2" t="s">
        <v>12</v>
      </c>
      <c r="G2" t="s">
        <v>13</v>
      </c>
    </row>
    <row r="3" spans="1:7" s="1" customFormat="1" x14ac:dyDescent="0.3">
      <c r="A3" s="1" t="s">
        <v>6</v>
      </c>
      <c r="B3" s="3" t="s">
        <v>7</v>
      </c>
      <c r="C3" s="1">
        <v>1</v>
      </c>
      <c r="D3" s="2">
        <v>2699</v>
      </c>
      <c r="E3" s="2">
        <f>D3*1.2</f>
        <v>3238.7999999999997</v>
      </c>
      <c r="F3" s="2">
        <f>D3*C3</f>
        <v>2699</v>
      </c>
      <c r="G3" s="2">
        <f>E3*C3</f>
        <v>3238.7999999999997</v>
      </c>
    </row>
    <row r="4" spans="1:7" x14ac:dyDescent="0.3">
      <c r="A4" t="s">
        <v>11</v>
      </c>
      <c r="B4" s="6" t="s">
        <v>8</v>
      </c>
      <c r="C4">
        <v>2</v>
      </c>
      <c r="D4" s="4">
        <f>E4*0.8</f>
        <v>627.91200000000003</v>
      </c>
      <c r="E4" s="4">
        <v>784.89</v>
      </c>
      <c r="F4" s="2">
        <f t="shared" ref="F4:F5" si="0">D4*C4</f>
        <v>1255.8240000000001</v>
      </c>
      <c r="G4" s="2">
        <f t="shared" ref="G4:G5" si="1">E4*C4</f>
        <v>1569.78</v>
      </c>
    </row>
    <row r="5" spans="1:7" x14ac:dyDescent="0.3">
      <c r="A5" t="s">
        <v>9</v>
      </c>
      <c r="B5" s="6" t="s">
        <v>10</v>
      </c>
      <c r="C5">
        <v>2</v>
      </c>
      <c r="D5" s="4">
        <f>E5*0.8</f>
        <v>921.80000000000007</v>
      </c>
      <c r="E5" s="4">
        <v>1152.25</v>
      </c>
      <c r="F5" s="2">
        <f t="shared" si="0"/>
        <v>1843.6000000000001</v>
      </c>
      <c r="G5" s="2">
        <f t="shared" si="1"/>
        <v>2304.5</v>
      </c>
    </row>
    <row r="6" spans="1:7" ht="28.8" x14ac:dyDescent="0.3">
      <c r="A6" t="s">
        <v>16</v>
      </c>
      <c r="B6" s="5" t="s">
        <v>15</v>
      </c>
      <c r="C6">
        <v>8</v>
      </c>
      <c r="D6" s="4">
        <v>436.62</v>
      </c>
      <c r="E6" s="4">
        <f>D6*1.2</f>
        <v>523.94399999999996</v>
      </c>
      <c r="F6" s="4">
        <f>D6*C6</f>
        <v>3492.96</v>
      </c>
      <c r="G6" s="4">
        <f>E6*C6</f>
        <v>4191.5519999999997</v>
      </c>
    </row>
    <row r="7" spans="1:7" x14ac:dyDescent="0.3">
      <c r="D7" s="4"/>
      <c r="E7" s="4"/>
    </row>
    <row r="10" spans="1:7" x14ac:dyDescent="0.3">
      <c r="B10" t="s">
        <v>14</v>
      </c>
      <c r="F10" s="4">
        <f>SUM(F3:F9)</f>
        <v>9291.384</v>
      </c>
      <c r="G10" s="4">
        <f>SUM(G3:G9)</f>
        <v>11304.632</v>
      </c>
    </row>
  </sheetData>
  <hyperlinks>
    <hyperlink ref="B6" r:id="rId1" tooltip="Seagate IronWolf - 4 To - 256 Mo - Pack de 4" display="https://www.materiel.net/produit/202403080136.html" xr:uid="{D1A8EE1B-6B65-4F63-869F-6FC3B4FFABC6}"/>
    <hyperlink ref="B5" r:id="rId2" xr:uid="{16695440-2B30-486A-9583-EDF77546D655}"/>
    <hyperlink ref="B4" r:id="rId3" xr:uid="{95879471-1ED4-48E7-B551-87D70F10BD48}"/>
    <hyperlink ref="B3" r:id="rId4" xr:uid="{948D5461-ED80-49A1-95DB-9150F95183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nassim arrass</dc:creator>
  <cp:lastModifiedBy>nassim arrass</cp:lastModifiedBy>
  <dcterms:created xsi:type="dcterms:W3CDTF">2025-12-02T13:06:23Z</dcterms:created>
  <dcterms:modified xsi:type="dcterms:W3CDTF">2025-12-02T23:18:34Z</dcterms:modified>
</cp:coreProperties>
</file>